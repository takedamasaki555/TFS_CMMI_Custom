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showInkAnnotation="0" defaultThemeVersion="124226"/>
  <bookViews>
    <workbookView xWindow="135" yWindow="450" windowWidth="19320" windowHeight="13935"/>
  </bookViews>
  <sheets>
    <sheet name="アセスメント表" sheetId="1" r:id="rId1"/>
    <sheet name="例" sheetId="2" r:id="rId2"/>
  </sheets>
  <definedNames>
    <definedName name="Development_Cost_Table">アセスメント表!$B$70:$C$75</definedName>
    <definedName name="Fit_Table">アセスメント表!$B$62:$C$67</definedName>
    <definedName name="Operations_Cost_Table">アセスメント表!$B$78:$C$83</definedName>
    <definedName name="Values">アセスメント表!$B$62:$B$67</definedName>
  </definedNames>
  <calcPr calcId="125725"/>
</workbook>
</file>

<file path=xl/calcChain.xml><?xml version="1.0" encoding="utf-8"?>
<calcChain xmlns="http://schemas.openxmlformats.org/spreadsheetml/2006/main">
  <c r="C24" i="1"/>
  <c r="D24"/>
  <c r="C25"/>
  <c r="D25"/>
  <c r="C26"/>
  <c r="D26"/>
  <c r="F27"/>
  <c r="G27"/>
  <c r="H27"/>
  <c r="I27"/>
  <c r="D21"/>
  <c r="D20"/>
  <c r="D19"/>
  <c r="D16"/>
  <c r="D15"/>
  <c r="D14"/>
  <c r="D11"/>
  <c r="D10"/>
  <c r="D9"/>
  <c r="D12" i="2"/>
  <c r="D17"/>
  <c r="D13"/>
  <c r="D18"/>
  <c r="D11"/>
  <c r="D16" s="1"/>
  <c r="F14"/>
  <c r="F9"/>
  <c r="G14"/>
  <c r="G9"/>
  <c r="H14"/>
  <c r="H9"/>
  <c r="C15"/>
  <c r="C20"/>
  <c r="C14"/>
  <c r="C19"/>
  <c r="C13"/>
  <c r="C18"/>
  <c r="C12"/>
  <c r="C17"/>
  <c r="C11"/>
  <c r="C16"/>
  <c r="C12" i="1"/>
  <c r="C13"/>
  <c r="I7"/>
  <c r="I12"/>
  <c r="I17"/>
  <c r="I22"/>
  <c r="H7"/>
  <c r="H12"/>
  <c r="H17"/>
  <c r="H22"/>
  <c r="G7"/>
  <c r="G12"/>
  <c r="G17"/>
  <c r="G22"/>
  <c r="F7"/>
  <c r="F12"/>
  <c r="F17"/>
  <c r="F22"/>
  <c r="C21"/>
  <c r="C20"/>
  <c r="C19"/>
  <c r="C16"/>
  <c r="C15"/>
  <c r="C14"/>
  <c r="C11"/>
  <c r="C10"/>
  <c r="C9"/>
  <c r="F19" i="2" l="1"/>
  <c r="F21" s="1"/>
  <c r="G19"/>
  <c r="G21" s="1"/>
  <c r="H19"/>
  <c r="H21" s="1"/>
  <c r="H29" i="1"/>
  <c r="G29"/>
  <c r="F29"/>
  <c r="I29"/>
</calcChain>
</file>

<file path=xl/sharedStrings.xml><?xml version="1.0" encoding="utf-8"?>
<sst xmlns="http://schemas.openxmlformats.org/spreadsheetml/2006/main" count="147" uniqueCount="29">
  <si>
    <t>N/A</t>
  </si>
  <si>
    <t>方法</t>
  </si>
  <si>
    <t>シナリオ</t>
  </si>
  <si>
    <t>分析</t>
  </si>
  <si>
    <t>ディメンションの比重</t>
  </si>
  <si>
    <t>フィット</t>
  </si>
  <si>
    <t>開発コスト</t>
  </si>
  <si>
    <t>運用コスト</t>
  </si>
  <si>
    <t>アセスメント</t>
  </si>
  <si>
    <t>シナリオの比重</t>
  </si>
  <si>
    <t>全体的なアセスメント</t>
  </si>
  <si>
    <t>評価表</t>
  </si>
  <si>
    <t>高</t>
  </si>
  <si>
    <t>やや高</t>
  </si>
  <si>
    <t>中</t>
  </si>
  <si>
    <t>やや低</t>
  </si>
  <si>
    <t>低</t>
  </si>
  <si>
    <t>方法に照らしてシナリオを実現するために必要な作業です。</t>
  </si>
  <si>
    <t>シナリオに照らして予想される、方法の実行時有効性です。</t>
  </si>
  <si>
    <t>他のシナリオとの比較における、シナリオの相対的な重要度です。</t>
  </si>
  <si>
    <r>
      <t>全体的な品質、つまり、方法をシナリオに適用した結果の "フィット (適合度)" です。</t>
    </r>
    <r>
      <rPr>
        <sz val="12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フィットには、リスクの評価も組み込まれます。</t>
    </r>
  </si>
  <si>
    <t>アセスメント例</t>
  </si>
  <si>
    <t>既存の ABC で新しい XYZ アプリケーション シナリオをサポートするための方法</t>
  </si>
  <si>
    <t>新しいアプリケーションは XYZ のデータ ストアを利用します。</t>
  </si>
  <si>
    <t>XYZ アプリケーションの表示は、ユーザーがカスタマイズしてレイアウトおよびコンテンツを決定します。</t>
  </si>
  <si>
    <t>シナリオ 2 の適用後) XYZ アプリケーションのピーク時のトランザクション レートは 10x の割合で増加します。</t>
  </si>
  <si>
    <t>A. 設計変更を行いません。  最小限の作業で、既存の ABC アプリケーションのアーキテクチャを保守します。  ABC のコンポーネントに新しい依存関係は導入しません。</t>
  </si>
  <si>
    <t>B. .NET に用意されているモデルで既存の ABC アプリケーションのコンポーネントをラップして徐々に追加します。</t>
  </si>
  <si>
    <t>C. 既存の ABC アプリケーションを .NET に完全に移植します。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</si>
</sst>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MS PGothic"/>
      <family val="2"/>
    </font>
    <font>
      <b/>
      <sz val="11"/>
      <name val="MS PGothic"/>
      <family val="2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/>
    </xf>
    <xf numFmtId="0" fontId="2" fillId="0" borderId="2" xfId="0" applyFont="1" applyBorder="1"/>
    <xf numFmtId="0" fontId="2" fillId="0" borderId="2" xfId="0" applyFont="1" applyBorder="1" applyAlignment="1">
      <alignment wrapText="1"/>
    </xf>
    <xf numFmtId="0" fontId="3" fillId="0" borderId="2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2" fillId="0" borderId="0" xfId="0" applyFont="1" applyBorder="1"/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2" fillId="0" borderId="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/>
    <xf numFmtId="0" fontId="3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left" vertical="top" wrapText="1"/>
    </xf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0</xdr:row>
      <xdr:rowOff>104775</xdr:rowOff>
    </xdr:from>
    <xdr:to>
      <xdr:col>4</xdr:col>
      <xdr:colOff>361950</xdr:colOff>
      <xdr:row>1</xdr:row>
      <xdr:rowOff>457200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609850" y="104775"/>
          <a:ext cx="1323975" cy="5429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r>
            <a:rPr lang="zh-CN" altLang="en-US" sz="800" b="1">
              <a:latin typeface="+mn-lt"/>
              <a:ea typeface="+mn-ea"/>
              <a:cs typeface="+mn-cs"/>
            </a:rPr>
            <a:t>ステップ</a:t>
          </a:r>
          <a:r>
            <a:rPr lang="ja-JP" altLang="en-US" sz="800" b="1">
              <a:latin typeface="+mn-lt"/>
              <a:ea typeface="+mn-ea"/>
              <a:cs typeface="+mn-cs"/>
            </a:rPr>
            <a:t> </a:t>
          </a:r>
          <a:r>
            <a:rPr lang="en-US" altLang="ja-JP" sz="800" b="1">
              <a:latin typeface="+mn-lt"/>
              <a:ea typeface="+mn-ea"/>
              <a:cs typeface="+mn-cs"/>
            </a:rPr>
            <a:t>2:</a:t>
          </a:r>
          <a:r>
            <a:rPr lang="ja-JP" altLang="en-US" sz="800">
              <a:latin typeface="+mn-lt"/>
              <a:ea typeface="+mn-ea"/>
              <a:cs typeface="+mn-cs"/>
            </a:rPr>
            <a:t> </a:t>
          </a:r>
          <a:r>
            <a:rPr lang="zh-CN" altLang="en-US" sz="800">
              <a:latin typeface="+mn-lt"/>
              <a:ea typeface="+mn-ea"/>
              <a:cs typeface="+mn-cs"/>
            </a:rPr>
            <a:t>各設計方法を別々の列に入力します。</a:t>
          </a:r>
          <a:endParaRPr lang="en-US" sz="8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47625</xdr:colOff>
      <xdr:row>1</xdr:row>
      <xdr:rowOff>200025</xdr:rowOff>
    </xdr:from>
    <xdr:to>
      <xdr:col>1</xdr:col>
      <xdr:colOff>1085850</xdr:colOff>
      <xdr:row>1</xdr:row>
      <xdr:rowOff>1085850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342900" y="361950"/>
          <a:ext cx="1038225" cy="8858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r>
            <a:rPr lang="zh-CN" altLang="en-US" sz="800" b="1">
              <a:latin typeface="+mn-lt"/>
              <a:ea typeface="+mn-ea"/>
              <a:cs typeface="+mn-cs"/>
            </a:rPr>
            <a:t>ステップ</a:t>
          </a:r>
          <a:r>
            <a:rPr lang="ja-JP" altLang="en-US" sz="800" b="1">
              <a:latin typeface="+mn-lt"/>
              <a:ea typeface="+mn-ea"/>
              <a:cs typeface="+mn-cs"/>
            </a:rPr>
            <a:t> </a:t>
          </a:r>
          <a:r>
            <a:rPr lang="en-US" altLang="ja-JP" sz="800" b="1">
              <a:latin typeface="+mn-lt"/>
              <a:ea typeface="+mn-ea"/>
              <a:cs typeface="+mn-cs"/>
            </a:rPr>
            <a:t>1:</a:t>
          </a:r>
          <a:r>
            <a:rPr lang="ja-JP" altLang="en-US" sz="800">
              <a:latin typeface="+mn-lt"/>
              <a:ea typeface="+mn-ea"/>
              <a:cs typeface="+mn-cs"/>
            </a:rPr>
            <a:t> </a:t>
          </a:r>
          <a:r>
            <a:rPr lang="zh-CN" altLang="en-US" sz="800">
              <a:latin typeface="+mn-lt"/>
              <a:ea typeface="+mn-ea"/>
              <a:cs typeface="+mn-cs"/>
            </a:rPr>
            <a:t>各シナリオを別々の行に入力します。 シナリオは、コンテキスト、刺激、および応答として記述します。</a:t>
          </a:r>
          <a:endParaRPr lang="en-US" sz="8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523874</xdr:colOff>
      <xdr:row>1</xdr:row>
      <xdr:rowOff>981075</xdr:rowOff>
    </xdr:from>
    <xdr:to>
      <xdr:col>8</xdr:col>
      <xdr:colOff>257174</xdr:colOff>
      <xdr:row>1</xdr:row>
      <xdr:rowOff>1724025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4705349" y="1171575"/>
          <a:ext cx="2752725" cy="7429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r>
            <a:rPr lang="zh-CN" altLang="en-US" sz="800" b="1">
              <a:latin typeface="+mn-lt"/>
              <a:ea typeface="+mn-ea"/>
              <a:cs typeface="+mn-cs"/>
            </a:rPr>
            <a:t>ステップ</a:t>
          </a:r>
          <a:r>
            <a:rPr lang="ja-JP" altLang="en-US" sz="800" b="1">
              <a:latin typeface="+mn-lt"/>
              <a:ea typeface="+mn-ea"/>
              <a:cs typeface="+mn-cs"/>
            </a:rPr>
            <a:t> </a:t>
          </a:r>
          <a:r>
            <a:rPr lang="en-US" altLang="ja-JP" sz="800" b="1">
              <a:latin typeface="+mn-lt"/>
              <a:ea typeface="+mn-ea"/>
              <a:cs typeface="+mn-cs"/>
            </a:rPr>
            <a:t>4:</a:t>
          </a:r>
          <a:r>
            <a:rPr lang="ja-JP" altLang="en-US" sz="800">
              <a:latin typeface="+mn-lt"/>
              <a:ea typeface="+mn-ea"/>
              <a:cs typeface="+mn-cs"/>
            </a:rPr>
            <a:t> </a:t>
          </a:r>
          <a:r>
            <a:rPr lang="zh-CN" altLang="en-US" sz="800">
              <a:latin typeface="+mn-lt"/>
              <a:ea typeface="+mn-ea"/>
              <a:cs typeface="+mn-cs"/>
            </a:rPr>
            <a:t>シナリオのフィット、開発コスト、および運用コストが方法と交差する部分をそれぞれ評価します。 値として、低、やや低、中、やや高、および高を使用します。</a:t>
          </a:r>
          <a:endParaRPr lang="en-US" sz="800">
            <a:latin typeface="+mn-lt"/>
            <a:ea typeface="+mn-ea"/>
            <a:cs typeface="+mn-cs"/>
          </a:endParaRPr>
        </a:p>
        <a:p>
          <a:r>
            <a:rPr lang="en-US" sz="800">
              <a:latin typeface="+mn-lt"/>
              <a:ea typeface="+mn-ea"/>
              <a:cs typeface="+mn-cs"/>
            </a:rPr>
            <a:t> </a:t>
          </a:r>
        </a:p>
        <a:p>
          <a:r>
            <a:rPr lang="zh-CN" altLang="en-US" sz="800">
              <a:latin typeface="+mn-lt"/>
              <a:ea typeface="+mn-ea"/>
              <a:cs typeface="+mn-cs"/>
            </a:rPr>
            <a:t>各セルの評価数値は自動で計算されます。</a:t>
          </a:r>
          <a:endParaRPr lang="en-US" sz="800">
            <a:latin typeface="+mn-lt"/>
            <a:ea typeface="+mn-ea"/>
            <a:cs typeface="+mn-cs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400050</xdr:colOff>
      <xdr:row>1</xdr:row>
      <xdr:rowOff>1076325</xdr:rowOff>
    </xdr:from>
    <xdr:to>
      <xdr:col>1</xdr:col>
      <xdr:colOff>409575</xdr:colOff>
      <xdr:row>1</xdr:row>
      <xdr:rowOff>1638300</xdr:rowOff>
    </xdr:to>
    <xdr:sp macro="" textlink="">
      <xdr:nvSpPr>
        <xdr:cNvPr id="1051" name="Line 6"/>
        <xdr:cNvSpPr>
          <a:spLocks noChangeShapeType="1"/>
        </xdr:cNvSpPr>
      </xdr:nvSpPr>
      <xdr:spPr bwMode="auto">
        <a:xfrm flipH="1">
          <a:off x="695325" y="1266825"/>
          <a:ext cx="9525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1</xdr:row>
      <xdr:rowOff>257175</xdr:rowOff>
    </xdr:from>
    <xdr:to>
      <xdr:col>5</xdr:col>
      <xdr:colOff>19050</xdr:colOff>
      <xdr:row>1</xdr:row>
      <xdr:rowOff>257175</xdr:rowOff>
    </xdr:to>
    <xdr:sp macro="" textlink="">
      <xdr:nvSpPr>
        <xdr:cNvPr id="1052" name="Line 7"/>
        <xdr:cNvSpPr>
          <a:spLocks noChangeShapeType="1"/>
        </xdr:cNvSpPr>
      </xdr:nvSpPr>
      <xdr:spPr bwMode="auto">
        <a:xfrm>
          <a:off x="3914775" y="4476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1</xdr:row>
      <xdr:rowOff>1095375</xdr:rowOff>
    </xdr:from>
    <xdr:to>
      <xdr:col>2</xdr:col>
      <xdr:colOff>1047750</xdr:colOff>
      <xdr:row>1</xdr:row>
      <xdr:rowOff>1552575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1657350" y="1257300"/>
          <a:ext cx="971550" cy="4572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r>
            <a:rPr lang="zh-CN" altLang="en-US" sz="800" b="1">
              <a:latin typeface="+mn-lt"/>
              <a:ea typeface="+mn-ea"/>
              <a:cs typeface="+mn-cs"/>
            </a:rPr>
            <a:t>ステップ</a:t>
          </a:r>
          <a:r>
            <a:rPr lang="ja-JP" altLang="en-US" sz="800" b="1">
              <a:latin typeface="+mn-lt"/>
              <a:ea typeface="+mn-ea"/>
              <a:cs typeface="+mn-cs"/>
            </a:rPr>
            <a:t> </a:t>
          </a:r>
          <a:r>
            <a:rPr lang="en-US" altLang="ja-JP" sz="800" b="1">
              <a:latin typeface="+mn-lt"/>
              <a:ea typeface="+mn-ea"/>
              <a:cs typeface="+mn-cs"/>
            </a:rPr>
            <a:t>3:</a:t>
          </a:r>
          <a:r>
            <a:rPr lang="ja-JP" altLang="en-US" sz="800">
              <a:latin typeface="+mn-lt"/>
              <a:ea typeface="+mn-ea"/>
              <a:cs typeface="+mn-cs"/>
            </a:rPr>
            <a:t> </a:t>
          </a:r>
          <a:r>
            <a:rPr lang="zh-CN" altLang="en-US" sz="800">
              <a:latin typeface="+mn-lt"/>
              <a:ea typeface="+mn-ea"/>
              <a:cs typeface="+mn-cs"/>
            </a:rPr>
            <a:t>必要に応じてディメンションの比重を調整します。</a:t>
          </a:r>
          <a:endParaRPr lang="en-US" sz="800">
            <a:latin typeface="+mn-lt"/>
            <a:ea typeface="+mn-ea"/>
            <a:cs typeface="+mn-cs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819150</xdr:colOff>
      <xdr:row>1</xdr:row>
      <xdr:rowOff>1495425</xdr:rowOff>
    </xdr:from>
    <xdr:to>
      <xdr:col>3</xdr:col>
      <xdr:colOff>123825</xdr:colOff>
      <xdr:row>2</xdr:row>
      <xdr:rowOff>133350</xdr:rowOff>
    </xdr:to>
    <xdr:sp macro="" textlink="">
      <xdr:nvSpPr>
        <xdr:cNvPr id="1058" name="Line 14"/>
        <xdr:cNvSpPr>
          <a:spLocks noChangeShapeType="1"/>
        </xdr:cNvSpPr>
      </xdr:nvSpPr>
      <xdr:spPr bwMode="auto">
        <a:xfrm>
          <a:off x="2400300" y="1685925"/>
          <a:ext cx="59055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9525</xdr:colOff>
      <xdr:row>24</xdr:row>
      <xdr:rowOff>161925</xdr:rowOff>
    </xdr:from>
    <xdr:to>
      <xdr:col>12</xdr:col>
      <xdr:colOff>19050</xdr:colOff>
      <xdr:row>28</xdr:row>
      <xdr:rowOff>190500</xdr:rowOff>
    </xdr:to>
    <xdr:sp macro="" textlink="">
      <xdr:nvSpPr>
        <xdr:cNvPr id="1045" name="Text Box 21"/>
        <xdr:cNvSpPr txBox="1">
          <a:spLocks noChangeArrowheads="1"/>
        </xdr:cNvSpPr>
      </xdr:nvSpPr>
      <xdr:spPr bwMode="auto">
        <a:xfrm>
          <a:off x="8829675" y="6105525"/>
          <a:ext cx="1228725" cy="7715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800" b="1">
              <a:latin typeface="+mn-lt"/>
              <a:ea typeface="+mn-ea"/>
              <a:cs typeface="+mn-cs"/>
            </a:rPr>
            <a:t>メモ</a:t>
          </a:r>
          <a:r>
            <a:rPr lang="en-US" altLang="ja-JP" sz="800" b="1">
              <a:latin typeface="+mn-lt"/>
              <a:ea typeface="+mn-ea"/>
              <a:cs typeface="+mn-cs"/>
            </a:rPr>
            <a:t>:</a:t>
          </a:r>
          <a:r>
            <a:rPr lang="ja-JP" altLang="en-US" sz="800">
              <a:latin typeface="+mn-lt"/>
              <a:ea typeface="+mn-ea"/>
              <a:cs typeface="+mn-cs"/>
            </a:rPr>
            <a:t> </a:t>
          </a:r>
          <a:r>
            <a:rPr lang="zh-CN" altLang="en-US" sz="800">
              <a:latin typeface="+mn-lt"/>
              <a:ea typeface="+mn-ea"/>
              <a:cs typeface="+mn-cs"/>
            </a:rPr>
            <a:t>シナリオを挿入または削除した場合は、アセスメント式全体を修正する必要があります。</a:t>
          </a:r>
          <a:endParaRPr lang="en-US" sz="800">
            <a:latin typeface="+mn-lt"/>
            <a:ea typeface="+mn-ea"/>
            <a:cs typeface="+mn-cs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1009649</xdr:colOff>
      <xdr:row>28</xdr:row>
      <xdr:rowOff>123825</xdr:rowOff>
    </xdr:from>
    <xdr:to>
      <xdr:col>10</xdr:col>
      <xdr:colOff>9524</xdr:colOff>
      <xdr:row>28</xdr:row>
      <xdr:rowOff>123825</xdr:rowOff>
    </xdr:to>
    <xdr:sp macro="" textlink="">
      <xdr:nvSpPr>
        <xdr:cNvPr id="1060" name="Line 22"/>
        <xdr:cNvSpPr>
          <a:spLocks noChangeShapeType="1"/>
        </xdr:cNvSpPr>
      </xdr:nvSpPr>
      <xdr:spPr bwMode="auto">
        <a:xfrm flipH="1">
          <a:off x="8210549" y="68103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J83"/>
  <sheetViews>
    <sheetView tabSelected="1" workbookViewId="0">
      <selection activeCell="J2" sqref="J2"/>
    </sheetView>
  </sheetViews>
  <sheetFormatPr defaultRowHeight="15"/>
  <cols>
    <col min="1" max="1" width="4.42578125" style="1" customWidth="1"/>
    <col min="2" max="3" width="19.28515625" style="1" customWidth="1"/>
    <col min="4" max="4" width="10.5703125" style="1" customWidth="1"/>
    <col min="5" max="5" width="9.140625" style="1"/>
    <col min="6" max="6" width="15.7109375" style="1" customWidth="1"/>
    <col min="7" max="7" width="14.5703125" style="1" customWidth="1"/>
    <col min="8" max="8" width="15" style="1" customWidth="1"/>
    <col min="9" max="9" width="15.140625" style="1" customWidth="1"/>
    <col min="10" max="16384" width="9.140625" style="1"/>
  </cols>
  <sheetData>
    <row r="1" spans="1:10">
      <c r="F1" s="2" t="s">
        <v>1</v>
      </c>
    </row>
    <row r="2" spans="1:10" ht="144" customHeight="1" thickBot="1">
      <c r="B2" s="3" t="s">
        <v>2</v>
      </c>
      <c r="C2" s="3" t="s">
        <v>3</v>
      </c>
      <c r="D2" s="4" t="s">
        <v>4</v>
      </c>
      <c r="E2" s="5"/>
      <c r="F2" s="6"/>
      <c r="G2" s="6"/>
      <c r="H2" s="6"/>
      <c r="I2" s="6"/>
    </row>
    <row r="3" spans="1:10" ht="15.75" thickTop="1"/>
    <row r="4" spans="1:10" ht="12.75" customHeight="1">
      <c r="A4" s="2">
        <v>1</v>
      </c>
      <c r="B4" s="20"/>
      <c r="C4" s="24" t="s">
        <v>5</v>
      </c>
      <c r="D4" s="1">
        <v>1</v>
      </c>
      <c r="F4" s="7" t="s">
        <v>0</v>
      </c>
      <c r="G4" s="7" t="s">
        <v>0</v>
      </c>
      <c r="H4" s="7" t="s">
        <v>0</v>
      </c>
      <c r="I4" s="7" t="s">
        <v>0</v>
      </c>
      <c r="J4" s="1" t="s">
        <v>20</v>
      </c>
    </row>
    <row r="5" spans="1:10">
      <c r="B5" s="20"/>
      <c r="C5" s="24" t="s">
        <v>6</v>
      </c>
      <c r="D5" s="1">
        <v>1</v>
      </c>
      <c r="F5" s="7" t="s">
        <v>0</v>
      </c>
      <c r="G5" s="7" t="s">
        <v>0</v>
      </c>
      <c r="H5" s="7" t="s">
        <v>0</v>
      </c>
      <c r="I5" s="7" t="s">
        <v>0</v>
      </c>
      <c r="J5" s="1" t="s">
        <v>17</v>
      </c>
    </row>
    <row r="6" spans="1:10">
      <c r="B6" s="20"/>
      <c r="C6" s="24" t="s">
        <v>7</v>
      </c>
      <c r="D6" s="1">
        <v>1</v>
      </c>
      <c r="F6" s="7" t="s">
        <v>0</v>
      </c>
      <c r="G6" s="7" t="s">
        <v>0</v>
      </c>
      <c r="H6" s="7" t="s">
        <v>0</v>
      </c>
      <c r="I6" s="7" t="s">
        <v>0</v>
      </c>
      <c r="J6" s="1" t="s">
        <v>18</v>
      </c>
    </row>
    <row r="7" spans="1:10" ht="12.75" customHeight="1">
      <c r="B7" s="20"/>
      <c r="C7" s="25" t="s">
        <v>8</v>
      </c>
      <c r="F7" s="9">
        <f>$D4*VLOOKUP(F4,Fit_Table,2,FALSE)+$D5*VLOOKUP(F5,Development_Cost_Table,2,FALSE)+$D6*VLOOKUP(F6,Operations_Cost_Table,2,FALSE)</f>
        <v>0</v>
      </c>
      <c r="G7" s="9">
        <f>$D4*VLOOKUP(G4,Fit_Table,2,FALSE)+$D5*VLOOKUP(G5,Development_Cost_Table,2,FALSE)+$D6*VLOOKUP(G6,Operations_Cost_Table,2,FALSE)</f>
        <v>0</v>
      </c>
      <c r="H7" s="9">
        <f>$D4*VLOOKUP(H4,Fit_Table,2,FALSE)+$D5*VLOOKUP(H5,Development_Cost_Table,2,FALSE)+$D6*VLOOKUP(H6,Operations_Cost_Table,2,FALSE)</f>
        <v>0</v>
      </c>
      <c r="I7" s="9">
        <f>$D4*VLOOKUP(I4,Fit_Table,2,FALSE)+$D5*VLOOKUP(I5,Development_Cost_Table,2,FALSE)+$D6*VLOOKUP(I6,Operations_Cost_Table,2,FALSE)</f>
        <v>0</v>
      </c>
    </row>
    <row r="8" spans="1:10">
      <c r="B8" s="10"/>
      <c r="C8" s="11" t="s">
        <v>9</v>
      </c>
      <c r="D8" s="10">
        <v>1</v>
      </c>
      <c r="E8" s="10"/>
      <c r="F8" s="12"/>
      <c r="G8" s="12"/>
      <c r="H8" s="12"/>
      <c r="I8" s="12"/>
      <c r="J8" s="1" t="s">
        <v>19</v>
      </c>
    </row>
    <row r="9" spans="1:10" ht="12.75" customHeight="1">
      <c r="A9" s="2">
        <v>2</v>
      </c>
      <c r="B9" s="19"/>
      <c r="C9" s="1" t="str">
        <f>C$4</f>
        <v>フィット</v>
      </c>
      <c r="D9" s="1">
        <f>D$4</f>
        <v>1</v>
      </c>
      <c r="F9" s="7" t="s">
        <v>0</v>
      </c>
      <c r="G9" s="7" t="s">
        <v>0</v>
      </c>
      <c r="H9" s="7" t="s">
        <v>0</v>
      </c>
      <c r="I9" s="7" t="s">
        <v>0</v>
      </c>
    </row>
    <row r="10" spans="1:10">
      <c r="B10" s="20"/>
      <c r="C10" s="1" t="str">
        <f>C$5</f>
        <v>開発コスト</v>
      </c>
      <c r="D10" s="1">
        <f>D$5</f>
        <v>1</v>
      </c>
      <c r="F10" s="7" t="s">
        <v>0</v>
      </c>
      <c r="G10" s="7" t="s">
        <v>0</v>
      </c>
      <c r="H10" s="7" t="s">
        <v>0</v>
      </c>
      <c r="I10" s="7" t="s">
        <v>0</v>
      </c>
    </row>
    <row r="11" spans="1:10">
      <c r="B11" s="20"/>
      <c r="C11" s="1" t="str">
        <f>C$6</f>
        <v>運用コスト</v>
      </c>
      <c r="D11" s="1">
        <f>D$6</f>
        <v>1</v>
      </c>
      <c r="F11" s="7" t="s">
        <v>0</v>
      </c>
      <c r="G11" s="7" t="s">
        <v>0</v>
      </c>
      <c r="H11" s="7" t="s">
        <v>0</v>
      </c>
      <c r="I11" s="7" t="s">
        <v>0</v>
      </c>
    </row>
    <row r="12" spans="1:10" ht="12.75" customHeight="1">
      <c r="B12" s="20"/>
      <c r="C12" s="8" t="str">
        <f>C$7</f>
        <v>アセスメント</v>
      </c>
      <c r="F12" s="9">
        <f>$D9*VLOOKUP(F9,Fit_Table,2,FALSE)+$D10*VLOOKUP(F10,Development_Cost_Table,2,FALSE)+$D11*VLOOKUP(F11,Operations_Cost_Table,2,FALSE)</f>
        <v>0</v>
      </c>
      <c r="G12" s="9">
        <f>$D9*VLOOKUP(G9,Fit_Table,2,FALSE)+$D10*VLOOKUP(G10,Development_Cost_Table,2,FALSE)+$D11*VLOOKUP(G11,Operations_Cost_Table,2,FALSE)</f>
        <v>0</v>
      </c>
      <c r="H12" s="9">
        <f>$D9*VLOOKUP(H9,Fit_Table,2,FALSE)+$D10*VLOOKUP(H10,Development_Cost_Table,2,FALSE)+$D11*VLOOKUP(H11,Operations_Cost_Table,2,FALSE)</f>
        <v>0</v>
      </c>
      <c r="I12" s="9">
        <f>$D9*VLOOKUP(I9,Fit_Table,2,FALSE)+$D10*VLOOKUP(I10,Development_Cost_Table,2,FALSE)+$D11*VLOOKUP(I11,Operations_Cost_Table,2,FALSE)</f>
        <v>0</v>
      </c>
    </row>
    <row r="13" spans="1:10">
      <c r="B13" s="10"/>
      <c r="C13" s="11" t="str">
        <f>C$8</f>
        <v>シナリオの比重</v>
      </c>
      <c r="D13" s="10">
        <v>1</v>
      </c>
      <c r="E13" s="10"/>
      <c r="F13" s="12"/>
      <c r="G13" s="12"/>
      <c r="H13" s="12"/>
      <c r="I13" s="12"/>
    </row>
    <row r="14" spans="1:10" ht="12.75" customHeight="1">
      <c r="A14" s="2">
        <v>3</v>
      </c>
      <c r="B14" s="19"/>
      <c r="C14" s="1" t="str">
        <f>C$4</f>
        <v>フィット</v>
      </c>
      <c r="D14" s="1">
        <f>D$4</f>
        <v>1</v>
      </c>
      <c r="F14" s="7" t="s">
        <v>0</v>
      </c>
      <c r="G14" s="7" t="s">
        <v>0</v>
      </c>
      <c r="H14" s="7" t="s">
        <v>0</v>
      </c>
      <c r="I14" s="7" t="s">
        <v>0</v>
      </c>
    </row>
    <row r="15" spans="1:10">
      <c r="B15" s="20"/>
      <c r="C15" s="1" t="str">
        <f>C$5</f>
        <v>開発コスト</v>
      </c>
      <c r="D15" s="1">
        <f>D$5</f>
        <v>1</v>
      </c>
      <c r="F15" s="7" t="s">
        <v>0</v>
      </c>
      <c r="G15" s="7" t="s">
        <v>0</v>
      </c>
      <c r="H15" s="7" t="s">
        <v>0</v>
      </c>
      <c r="I15" s="7" t="s">
        <v>0</v>
      </c>
    </row>
    <row r="16" spans="1:10" ht="13.5" customHeight="1">
      <c r="B16" s="20"/>
      <c r="C16" s="1" t="str">
        <f>C$6</f>
        <v>運用コスト</v>
      </c>
      <c r="D16" s="1">
        <f>D$6</f>
        <v>1</v>
      </c>
      <c r="F16" s="7" t="s">
        <v>0</v>
      </c>
      <c r="G16" s="7" t="s">
        <v>0</v>
      </c>
      <c r="H16" s="7" t="s">
        <v>0</v>
      </c>
      <c r="I16" s="7" t="s">
        <v>0</v>
      </c>
    </row>
    <row r="17" spans="1:9" ht="12.75" customHeight="1">
      <c r="B17" s="20"/>
      <c r="C17" s="25" t="s">
        <v>8</v>
      </c>
      <c r="F17" s="9">
        <f>$D14*VLOOKUP(F14,Fit_Table,2,FALSE)+$D15*VLOOKUP(F15,Development_Cost_Table,2,FALSE)+$D16*VLOOKUP(F16,Operations_Cost_Table,2,FALSE)</f>
        <v>0</v>
      </c>
      <c r="G17" s="9">
        <f>$D14*VLOOKUP(G14,Fit_Table,2,FALSE)+$D15*VLOOKUP(G15,Development_Cost_Table,2,FALSE)+$D16*VLOOKUP(G16,Operations_Cost_Table,2,FALSE)</f>
        <v>0</v>
      </c>
      <c r="H17" s="9">
        <f>$D14*VLOOKUP(H14,Fit_Table,2,FALSE)+$D15*VLOOKUP(H15,Development_Cost_Table,2,FALSE)+$D16*VLOOKUP(H16,Operations_Cost_Table,2,FALSE)</f>
        <v>0</v>
      </c>
      <c r="I17" s="9">
        <f>$D14*VLOOKUP(I14,Fit_Table,2,FALSE)+$D15*VLOOKUP(I15,Development_Cost_Table,2,FALSE)+$D16*VLOOKUP(I16,Operations_Cost_Table,2,FALSE)</f>
        <v>0</v>
      </c>
    </row>
    <row r="18" spans="1:9">
      <c r="B18" s="10"/>
      <c r="C18" s="11" t="s">
        <v>9</v>
      </c>
      <c r="D18" s="10">
        <v>1</v>
      </c>
      <c r="E18" s="10"/>
      <c r="F18" s="12"/>
      <c r="G18" s="12"/>
      <c r="H18" s="12"/>
      <c r="I18" s="12"/>
    </row>
    <row r="19" spans="1:9" ht="12.75" customHeight="1">
      <c r="A19" s="2">
        <v>4</v>
      </c>
      <c r="B19" s="19"/>
      <c r="C19" s="1" t="str">
        <f>C$4</f>
        <v>フィット</v>
      </c>
      <c r="D19" s="1">
        <f>D$4</f>
        <v>1</v>
      </c>
      <c r="F19" s="7" t="s">
        <v>0</v>
      </c>
      <c r="G19" s="7" t="s">
        <v>0</v>
      </c>
      <c r="H19" s="7" t="s">
        <v>0</v>
      </c>
      <c r="I19" s="7" t="s">
        <v>0</v>
      </c>
    </row>
    <row r="20" spans="1:9">
      <c r="B20" s="20"/>
      <c r="C20" s="1" t="str">
        <f>C$5</f>
        <v>開発コスト</v>
      </c>
      <c r="D20" s="1">
        <f>D$5</f>
        <v>1</v>
      </c>
      <c r="F20" s="7" t="s">
        <v>0</v>
      </c>
      <c r="G20" s="7" t="s">
        <v>0</v>
      </c>
      <c r="H20" s="7" t="s">
        <v>0</v>
      </c>
      <c r="I20" s="7" t="s">
        <v>0</v>
      </c>
    </row>
    <row r="21" spans="1:9">
      <c r="B21" s="20"/>
      <c r="C21" s="1" t="str">
        <f>C$6</f>
        <v>運用コスト</v>
      </c>
      <c r="D21" s="1">
        <f>D$6</f>
        <v>1</v>
      </c>
      <c r="F21" s="7" t="s">
        <v>0</v>
      </c>
      <c r="G21" s="7" t="s">
        <v>0</v>
      </c>
      <c r="H21" s="7" t="s">
        <v>0</v>
      </c>
      <c r="I21" s="7" t="s">
        <v>0</v>
      </c>
    </row>
    <row r="22" spans="1:9" ht="12.75" customHeight="1">
      <c r="B22" s="20"/>
      <c r="C22" s="25" t="s">
        <v>8</v>
      </c>
      <c r="F22" s="9">
        <f>$D19*VLOOKUP(F19,Fit_Table,2,FALSE)+$D20*VLOOKUP(F20,Development_Cost_Table,2,FALSE)+$D21*VLOOKUP(F21,Operations_Cost_Table,2,FALSE)</f>
        <v>0</v>
      </c>
      <c r="G22" s="9">
        <f>$D19*VLOOKUP(G19,Fit_Table,2,FALSE)+$D20*VLOOKUP(G20,Development_Cost_Table,2,FALSE)+$D21*VLOOKUP(G21,Operations_Cost_Table,2,FALSE)</f>
        <v>0</v>
      </c>
      <c r="H22" s="9">
        <f>$D19*VLOOKUP(H19,Fit_Table,2,FALSE)+$D20*VLOOKUP(H20,Development_Cost_Table,2,FALSE)+$D21*VLOOKUP(H21,Operations_Cost_Table,2,FALSE)</f>
        <v>0</v>
      </c>
      <c r="I22" s="9">
        <f>$D19*VLOOKUP(I19,Fit_Table,2,FALSE)+$D20*VLOOKUP(I20,Development_Cost_Table,2,FALSE)+$D21*VLOOKUP(I21,Operations_Cost_Table,2,FALSE)</f>
        <v>0</v>
      </c>
    </row>
    <row r="23" spans="1:9">
      <c r="B23" s="10"/>
      <c r="C23" s="11" t="s">
        <v>9</v>
      </c>
      <c r="D23" s="10">
        <v>1</v>
      </c>
      <c r="E23" s="10"/>
      <c r="F23" s="12"/>
      <c r="G23" s="12"/>
      <c r="H23" s="12"/>
      <c r="I23" s="12"/>
    </row>
    <row r="24" spans="1:9" ht="12.75" customHeight="1">
      <c r="A24" s="2">
        <v>5</v>
      </c>
      <c r="B24" s="19"/>
      <c r="C24" s="1" t="str">
        <f>C$4</f>
        <v>フィット</v>
      </c>
      <c r="D24" s="1">
        <f>D$4</f>
        <v>1</v>
      </c>
      <c r="F24" s="7" t="s">
        <v>0</v>
      </c>
      <c r="G24" s="7" t="s">
        <v>0</v>
      </c>
      <c r="H24" s="7" t="s">
        <v>0</v>
      </c>
      <c r="I24" s="7" t="s">
        <v>0</v>
      </c>
    </row>
    <row r="25" spans="1:9">
      <c r="B25" s="21"/>
      <c r="C25" s="1" t="str">
        <f>C$5</f>
        <v>開発コスト</v>
      </c>
      <c r="D25" s="1">
        <f>D$5</f>
        <v>1</v>
      </c>
      <c r="F25" s="7" t="s">
        <v>0</v>
      </c>
      <c r="G25" s="7" t="s">
        <v>0</v>
      </c>
      <c r="H25" s="7" t="s">
        <v>0</v>
      </c>
      <c r="I25" s="7" t="s">
        <v>0</v>
      </c>
    </row>
    <row r="26" spans="1:9">
      <c r="B26" s="21"/>
      <c r="C26" s="1" t="str">
        <f>C$6</f>
        <v>運用コスト</v>
      </c>
      <c r="D26" s="1">
        <f>D$6</f>
        <v>1</v>
      </c>
      <c r="F26" s="7" t="s">
        <v>0</v>
      </c>
      <c r="G26" s="7" t="s">
        <v>0</v>
      </c>
      <c r="H26" s="7" t="s">
        <v>0</v>
      </c>
      <c r="I26" s="7" t="s">
        <v>0</v>
      </c>
    </row>
    <row r="27" spans="1:9" ht="12.75" customHeight="1">
      <c r="B27" s="21"/>
      <c r="C27" s="25" t="s">
        <v>8</v>
      </c>
      <c r="F27" s="9">
        <f>$D24*VLOOKUP(F24,Fit_Table,2,FALSE)+$D25*VLOOKUP(F25,Development_Cost_Table,2,FALSE)+$D26*VLOOKUP(F26,Operations_Cost_Table,2,FALSE)</f>
        <v>0</v>
      </c>
      <c r="G27" s="9">
        <f>$D24*VLOOKUP(G24,Fit_Table,2,FALSE)+$D25*VLOOKUP(G25,Development_Cost_Table,2,FALSE)+$D26*VLOOKUP(G26,Operations_Cost_Table,2,FALSE)</f>
        <v>0</v>
      </c>
      <c r="H27" s="9">
        <f>$D24*VLOOKUP(H24,Fit_Table,2,FALSE)+$D25*VLOOKUP(H25,Development_Cost_Table,2,FALSE)+$D26*VLOOKUP(H26,Operations_Cost_Table,2,FALSE)</f>
        <v>0</v>
      </c>
      <c r="I27" s="9">
        <f>$D24*VLOOKUP(I24,Fit_Table,2,FALSE)+$D25*VLOOKUP(I25,Development_Cost_Table,2,FALSE)+$D26*VLOOKUP(I26,Operations_Cost_Table,2,FALSE)</f>
        <v>0</v>
      </c>
    </row>
    <row r="28" spans="1:9" ht="15.75" thickBot="1">
      <c r="B28" s="5"/>
      <c r="C28" s="11" t="s">
        <v>9</v>
      </c>
      <c r="D28" s="5">
        <v>1</v>
      </c>
      <c r="E28" s="5"/>
      <c r="F28" s="13"/>
      <c r="G28" s="13"/>
      <c r="H28" s="13"/>
      <c r="I28" s="13"/>
    </row>
    <row r="29" spans="1:9" ht="15.75" thickTop="1">
      <c r="B29" s="14"/>
      <c r="C29" s="17" t="s">
        <v>10</v>
      </c>
      <c r="F29" s="15">
        <f>F7*$D8+F12*$D13+F17*$D18+F22*$D23+F27*$D28</f>
        <v>0</v>
      </c>
      <c r="G29" s="15">
        <f>G7*$D8+G12*$D13+G17*$D18+G22*$D23+G27*$D28</f>
        <v>0</v>
      </c>
      <c r="H29" s="15">
        <f>H7*$D8+H12*$D13+H17*$D18+H22*$D23+H27*$D28</f>
        <v>0</v>
      </c>
      <c r="I29" s="15">
        <f>I7*$D8+I12*$D13+I17*$D18+I22*$D23+I27*$D28</f>
        <v>0</v>
      </c>
    </row>
    <row r="30" spans="1:9">
      <c r="C30" s="18"/>
    </row>
    <row r="32" spans="1:9" ht="12" customHeight="1"/>
    <row r="60" spans="2:3">
      <c r="B60" s="2" t="s">
        <v>11</v>
      </c>
    </row>
    <row r="61" spans="2:3">
      <c r="B61" s="1" t="s">
        <v>5</v>
      </c>
    </row>
    <row r="62" spans="2:3">
      <c r="B62" s="1" t="s">
        <v>12</v>
      </c>
      <c r="C62" s="1">
        <v>2</v>
      </c>
    </row>
    <row r="63" spans="2:3">
      <c r="B63" s="1" t="s">
        <v>13</v>
      </c>
      <c r="C63" s="1">
        <v>1.5</v>
      </c>
    </row>
    <row r="64" spans="2:3">
      <c r="B64" s="1" t="s">
        <v>14</v>
      </c>
      <c r="C64" s="1">
        <v>1</v>
      </c>
    </row>
    <row r="65" spans="2:3">
      <c r="B65" s="1" t="s">
        <v>15</v>
      </c>
      <c r="C65" s="1">
        <v>0.5</v>
      </c>
    </row>
    <row r="66" spans="2:3">
      <c r="B66" s="1" t="s">
        <v>16</v>
      </c>
      <c r="C66" s="1">
        <v>0</v>
      </c>
    </row>
    <row r="67" spans="2:3">
      <c r="B67" s="1" t="s">
        <v>0</v>
      </c>
      <c r="C67" s="1">
        <v>0</v>
      </c>
    </row>
    <row r="69" spans="2:3">
      <c r="B69" s="1" t="s">
        <v>6</v>
      </c>
    </row>
    <row r="70" spans="2:3">
      <c r="B70" s="1" t="s">
        <v>12</v>
      </c>
      <c r="C70" s="1">
        <v>0</v>
      </c>
    </row>
    <row r="71" spans="2:3">
      <c r="B71" s="1" t="s">
        <v>13</v>
      </c>
      <c r="C71" s="1">
        <v>0.5</v>
      </c>
    </row>
    <row r="72" spans="2:3">
      <c r="B72" s="1" t="s">
        <v>14</v>
      </c>
      <c r="C72" s="1">
        <v>1</v>
      </c>
    </row>
    <row r="73" spans="2:3">
      <c r="B73" s="1" t="s">
        <v>15</v>
      </c>
      <c r="C73" s="1">
        <v>1.5</v>
      </c>
    </row>
    <row r="74" spans="2:3">
      <c r="B74" s="1" t="s">
        <v>16</v>
      </c>
      <c r="C74" s="1">
        <v>2</v>
      </c>
    </row>
    <row r="75" spans="2:3">
      <c r="B75" s="1" t="s">
        <v>0</v>
      </c>
      <c r="C75" s="1">
        <v>0</v>
      </c>
    </row>
    <row r="77" spans="2:3">
      <c r="B77" s="1" t="s">
        <v>7</v>
      </c>
    </row>
    <row r="78" spans="2:3">
      <c r="B78" s="1" t="s">
        <v>12</v>
      </c>
      <c r="C78" s="1">
        <v>0</v>
      </c>
    </row>
    <row r="79" spans="2:3">
      <c r="B79" s="1" t="s">
        <v>13</v>
      </c>
      <c r="C79" s="1">
        <v>0.5</v>
      </c>
    </row>
    <row r="80" spans="2:3">
      <c r="B80" s="1" t="s">
        <v>14</v>
      </c>
      <c r="C80" s="1">
        <v>1</v>
      </c>
    </row>
    <row r="81" spans="2:3">
      <c r="B81" s="1" t="s">
        <v>15</v>
      </c>
      <c r="C81" s="1">
        <v>1.5</v>
      </c>
    </row>
    <row r="82" spans="2:3">
      <c r="B82" s="1" t="s">
        <v>16</v>
      </c>
      <c r="C82" s="1">
        <v>2</v>
      </c>
    </row>
    <row r="83" spans="2:3">
      <c r="B83" s="1" t="s">
        <v>0</v>
      </c>
      <c r="C83" s="1">
        <v>0</v>
      </c>
    </row>
  </sheetData>
  <mergeCells count="6">
    <mergeCell ref="C29:C30"/>
    <mergeCell ref="B14:B17"/>
    <mergeCell ref="B4:B7"/>
    <mergeCell ref="B9:B12"/>
    <mergeCell ref="B19:B22"/>
    <mergeCell ref="B24:B27"/>
  </mergeCells>
  <phoneticPr fontId="0" type="noConversion"/>
  <dataValidations count="1">
    <dataValidation type="list" allowBlank="1" showInputMessage="1" showErrorMessage="1" sqref="F4:I6 F24:I26 F19:I21 F14:I16 F9:I11">
      <formula1>Values</formula1>
    </dataValidation>
  </dataValidations>
  <pageMargins left="0.75" right="0.75" top="1" bottom="1" header="0.5" footer="0.5"/>
  <pageSetup scale="7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H43"/>
  <sheetViews>
    <sheetView workbookViewId="0">
      <selection activeCell="F16" sqref="F16"/>
    </sheetView>
  </sheetViews>
  <sheetFormatPr defaultRowHeight="15"/>
  <cols>
    <col min="1" max="1" width="4.42578125" style="1" customWidth="1"/>
    <col min="2" max="2" width="23.28515625" style="1" customWidth="1"/>
    <col min="3" max="3" width="19.5703125" style="1" customWidth="1"/>
    <col min="4" max="4" width="12.5703125" style="1" customWidth="1"/>
    <col min="5" max="5" width="9.140625" style="1"/>
    <col min="6" max="8" width="28.85546875" style="1" customWidth="1"/>
    <col min="9" max="16384" width="9.140625" style="1"/>
  </cols>
  <sheetData>
    <row r="1" spans="1:8" ht="28.5">
      <c r="A1" s="16" t="s">
        <v>21</v>
      </c>
    </row>
    <row r="2" spans="1:8">
      <c r="A2" s="1" t="s">
        <v>22</v>
      </c>
    </row>
    <row r="3" spans="1:8">
      <c r="F3" s="2" t="s">
        <v>1</v>
      </c>
    </row>
    <row r="4" spans="1:8" ht="150.75" thickBot="1">
      <c r="B4" s="3" t="s">
        <v>2</v>
      </c>
      <c r="C4" s="3" t="s">
        <v>3</v>
      </c>
      <c r="D4" s="4" t="s">
        <v>4</v>
      </c>
      <c r="E4" s="5"/>
      <c r="F4" s="6" t="s">
        <v>26</v>
      </c>
      <c r="G4" s="6" t="s">
        <v>27</v>
      </c>
      <c r="H4" s="6" t="s">
        <v>28</v>
      </c>
    </row>
    <row r="5" spans="1:8" ht="15.75" thickTop="1"/>
    <row r="6" spans="1:8" ht="12.75" customHeight="1">
      <c r="A6" s="2">
        <v>1</v>
      </c>
      <c r="B6" s="20" t="s">
        <v>23</v>
      </c>
      <c r="C6" s="24" t="s">
        <v>5</v>
      </c>
      <c r="D6" s="1">
        <v>1</v>
      </c>
      <c r="F6" s="24" t="s">
        <v>14</v>
      </c>
      <c r="G6" s="7" t="s">
        <v>13</v>
      </c>
      <c r="H6" s="24" t="s">
        <v>14</v>
      </c>
    </row>
    <row r="7" spans="1:8">
      <c r="B7" s="20"/>
      <c r="C7" s="24" t="s">
        <v>6</v>
      </c>
      <c r="D7" s="1">
        <v>1.5</v>
      </c>
      <c r="F7" s="24" t="s">
        <v>12</v>
      </c>
      <c r="G7" s="24" t="s">
        <v>16</v>
      </c>
      <c r="H7" s="24" t="s">
        <v>12</v>
      </c>
    </row>
    <row r="8" spans="1:8">
      <c r="B8" s="20"/>
      <c r="C8" s="24" t="s">
        <v>7</v>
      </c>
      <c r="D8" s="1">
        <v>1</v>
      </c>
      <c r="F8" s="24" t="s">
        <v>16</v>
      </c>
      <c r="G8" s="7" t="s">
        <v>15</v>
      </c>
      <c r="H8" s="24" t="s">
        <v>16</v>
      </c>
    </row>
    <row r="9" spans="1:8">
      <c r="B9" s="20"/>
      <c r="C9" s="25" t="s">
        <v>8</v>
      </c>
      <c r="F9" s="9">
        <f>$D6*VLOOKUP(F6,Fit_Table,2,FALSE)+$D7*VLOOKUP(F7,Development_Cost_Table,2,FALSE)+$D8*VLOOKUP(F8,Operations_Cost_Table,2,FALSE)</f>
        <v>3</v>
      </c>
      <c r="G9" s="9">
        <f>$D6*VLOOKUP(G6,Fit_Table,2,FALSE)+$D7*VLOOKUP(G7,Development_Cost_Table,2,FALSE)+$D8*VLOOKUP(G8,Operations_Cost_Table,2,FALSE)</f>
        <v>6</v>
      </c>
      <c r="H9" s="9">
        <f>$D6*VLOOKUP(H6,Fit_Table,2,FALSE)+$D7*VLOOKUP(H7,Development_Cost_Table,2,FALSE)+$D8*VLOOKUP(H8,Operations_Cost_Table,2,FALSE)</f>
        <v>3</v>
      </c>
    </row>
    <row r="10" spans="1:8">
      <c r="B10" s="10"/>
      <c r="C10" s="11" t="s">
        <v>9</v>
      </c>
      <c r="D10" s="10">
        <v>1</v>
      </c>
      <c r="E10" s="10"/>
      <c r="F10" s="12"/>
      <c r="G10" s="12"/>
      <c r="H10" s="12"/>
    </row>
    <row r="11" spans="1:8" ht="12.75" customHeight="1">
      <c r="A11" s="2">
        <v>2</v>
      </c>
      <c r="B11" s="19" t="s">
        <v>24</v>
      </c>
      <c r="C11" s="1" t="str">
        <f t="shared" ref="C11:D13" si="0">C6</f>
        <v>フィット</v>
      </c>
      <c r="D11" s="1">
        <f t="shared" si="0"/>
        <v>1</v>
      </c>
      <c r="F11" s="24" t="s">
        <v>16</v>
      </c>
      <c r="G11" s="7" t="s">
        <v>13</v>
      </c>
      <c r="H11" s="24" t="s">
        <v>12</v>
      </c>
    </row>
    <row r="12" spans="1:8">
      <c r="B12" s="23"/>
      <c r="C12" s="1" t="str">
        <f t="shared" si="0"/>
        <v>開発コスト</v>
      </c>
      <c r="D12" s="1">
        <f t="shared" si="0"/>
        <v>1.5</v>
      </c>
      <c r="F12" s="7" t="s">
        <v>0</v>
      </c>
      <c r="G12" s="24" t="s">
        <v>14</v>
      </c>
      <c r="H12" s="7" t="s">
        <v>13</v>
      </c>
    </row>
    <row r="13" spans="1:8">
      <c r="B13" s="23"/>
      <c r="C13" s="1" t="str">
        <f t="shared" si="0"/>
        <v>運用コスト</v>
      </c>
      <c r="D13" s="1">
        <f t="shared" si="0"/>
        <v>1</v>
      </c>
      <c r="F13" s="7" t="s">
        <v>0</v>
      </c>
      <c r="G13" s="7" t="s">
        <v>15</v>
      </c>
      <c r="H13" s="24" t="s">
        <v>16</v>
      </c>
    </row>
    <row r="14" spans="1:8">
      <c r="B14" s="23"/>
      <c r="C14" s="8" t="str">
        <f t="shared" ref="C14:C20" si="1">C9</f>
        <v>アセスメント</v>
      </c>
      <c r="F14" s="9">
        <f>$D11*VLOOKUP(F11,Fit_Table,2,FALSE)+$D12*VLOOKUP(F12,Development_Cost_Table,2,FALSE)+$D13*VLOOKUP(F13,Operations_Cost_Table,2,FALSE)</f>
        <v>0</v>
      </c>
      <c r="G14" s="9">
        <f>$D11*VLOOKUP(G11,Fit_Table,2,FALSE)+$D12*VLOOKUP(G12,Development_Cost_Table,2,FALSE)+$D13*VLOOKUP(G13,Operations_Cost_Table,2,FALSE)</f>
        <v>4.5</v>
      </c>
      <c r="H14" s="9">
        <f>$D11*VLOOKUP(H11,Fit_Table,2,FALSE)+$D12*VLOOKUP(H12,Development_Cost_Table,2,FALSE)+$D13*VLOOKUP(H13,Operations_Cost_Table,2,FALSE)</f>
        <v>4.75</v>
      </c>
    </row>
    <row r="15" spans="1:8">
      <c r="B15" s="10"/>
      <c r="C15" s="11" t="str">
        <f t="shared" si="1"/>
        <v>シナリオの比重</v>
      </c>
      <c r="D15" s="10">
        <v>1</v>
      </c>
      <c r="E15" s="10"/>
      <c r="F15" s="12"/>
      <c r="G15" s="12"/>
      <c r="H15" s="12"/>
    </row>
    <row r="16" spans="1:8" ht="12.75" customHeight="1">
      <c r="A16" s="2">
        <v>3</v>
      </c>
      <c r="B16" s="19" t="s">
        <v>25</v>
      </c>
      <c r="C16" s="1" t="str">
        <f t="shared" si="1"/>
        <v>フィット</v>
      </c>
      <c r="D16" s="1">
        <f>D11</f>
        <v>1</v>
      </c>
      <c r="F16" s="24" t="s">
        <v>16</v>
      </c>
      <c r="G16" s="7" t="s">
        <v>13</v>
      </c>
      <c r="H16" s="24" t="s">
        <v>12</v>
      </c>
    </row>
    <row r="17" spans="2:8">
      <c r="B17" s="23"/>
      <c r="C17" s="1" t="str">
        <f t="shared" si="1"/>
        <v>開発コスト</v>
      </c>
      <c r="D17" s="1">
        <f>D12</f>
        <v>1.5</v>
      </c>
      <c r="F17" s="24" t="s">
        <v>12</v>
      </c>
      <c r="G17" s="7" t="s">
        <v>15</v>
      </c>
      <c r="H17" s="7" t="s">
        <v>13</v>
      </c>
    </row>
    <row r="18" spans="2:8">
      <c r="B18" s="23"/>
      <c r="C18" s="1" t="str">
        <f t="shared" si="1"/>
        <v>運用コスト</v>
      </c>
      <c r="D18" s="1">
        <f>D13</f>
        <v>1</v>
      </c>
      <c r="F18" s="24" t="s">
        <v>12</v>
      </c>
      <c r="G18" s="24" t="s">
        <v>14</v>
      </c>
      <c r="H18" s="24" t="s">
        <v>16</v>
      </c>
    </row>
    <row r="19" spans="2:8">
      <c r="B19" s="23"/>
      <c r="C19" s="8" t="str">
        <f t="shared" si="1"/>
        <v>アセスメント</v>
      </c>
      <c r="F19" s="9">
        <f>$D16*VLOOKUP(F16,Fit_Table,2,FALSE)+$D17*VLOOKUP(F17,Development_Cost_Table,2,FALSE)+$D18*VLOOKUP(F18,Operations_Cost_Table,2,FALSE)</f>
        <v>0</v>
      </c>
      <c r="G19" s="9">
        <f>$D16*VLOOKUP(G16,Fit_Table,2,FALSE)+$D17*VLOOKUP(G17,Development_Cost_Table,2,FALSE)+$D18*VLOOKUP(G18,Operations_Cost_Table,2,FALSE)</f>
        <v>4.75</v>
      </c>
      <c r="H19" s="9">
        <f>$D16*VLOOKUP(H16,Fit_Table,2,FALSE)+$D17*VLOOKUP(H17,Development_Cost_Table,2,FALSE)+$D18*VLOOKUP(H18,Operations_Cost_Table,2,FALSE)</f>
        <v>4.75</v>
      </c>
    </row>
    <row r="20" spans="2:8" ht="15.75" thickBot="1">
      <c r="B20" s="5"/>
      <c r="C20" s="11" t="str">
        <f t="shared" si="1"/>
        <v>シナリオの比重</v>
      </c>
      <c r="D20" s="5">
        <v>1.5</v>
      </c>
      <c r="E20" s="5"/>
      <c r="F20" s="13"/>
      <c r="G20" s="13"/>
      <c r="H20" s="13"/>
    </row>
    <row r="21" spans="2:8" ht="13.5" customHeight="1" thickTop="1">
      <c r="B21" s="14"/>
      <c r="C21" s="17" t="s">
        <v>10</v>
      </c>
      <c r="F21" s="15">
        <f>F19*D20+F14*D15+F9*D10</f>
        <v>3</v>
      </c>
      <c r="G21" s="15">
        <f>G19*D20+G14*D15+G9*D10</f>
        <v>17.625</v>
      </c>
      <c r="H21" s="15">
        <f>H9*D10+H14*D15+H19*D20</f>
        <v>14.875</v>
      </c>
    </row>
    <row r="22" spans="2:8">
      <c r="C22" s="22"/>
    </row>
    <row r="43" spans="2:2">
      <c r="B43" s="2"/>
    </row>
  </sheetData>
  <mergeCells count="4">
    <mergeCell ref="C21:C22"/>
    <mergeCell ref="B6:B9"/>
    <mergeCell ref="B11:B14"/>
    <mergeCell ref="B16:B19"/>
  </mergeCells>
  <phoneticPr fontId="1" type="noConversion"/>
  <dataValidations count="1">
    <dataValidation type="list" allowBlank="1" showInputMessage="1" showErrorMessage="1" sqref="F12:F13 G8 G11 H12 H17 G6 G16:G17 G13">
      <formula1>Values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アセスメント表</vt:lpstr>
      <vt:lpstr>例</vt:lpstr>
      <vt:lpstr>Development_Cost_Table</vt:lpstr>
      <vt:lpstr>Fit_Table</vt:lpstr>
      <vt:lpstr>Operations_Cost_Table</vt:lpstr>
      <vt:lpstr>Values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2010-01-15T01:42:20Z</dcterms:created>
  <dcterms:modified xsi:type="dcterms:W3CDTF">2010-02-10T08:42:40Z</dcterms:modified>
</cp:coreProperties>
</file>